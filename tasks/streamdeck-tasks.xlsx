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hase 0 — Scaffolding" sheetId="2" state="visible" r:id="rId4"/>
    <sheet name="Phase 1 — tvOS MV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<sst xmlns="http://schemas.openxmlformats.org/spreadsheetml/2006/main" count="395" uniqueCount="222">
  <si>
    <t xml:space="preserve">Phase</t>
  </si>
  <si>
    <t xml:space="preserve">Tasks</t>
  </si>
  <si>
    <t xml:space="preserve">Hours</t>
  </si>
  <si>
    <t xml:space="preserve">Days</t>
  </si>
  <si>
    <t xml:space="preserve">Weeks</t>
  </si>
  <si>
    <t xml:space="preserve">Key Deliverable</t>
  </si>
  <si>
    <t xml:space="preserve">Phase 0 — Scaffolding</t>
  </si>
  <si>
    <t xml:space="preserve">1–1.5</t>
  </si>
  <si>
    <t xml:space="preserve">Project builds, parser tested, CI green</t>
  </si>
  <si>
    <t xml:space="preserve">Phase 1 — tvOS MVP</t>
  </si>
  <si>
    <t xml:space="preserve">5–6</t>
  </si>
  <si>
    <t xml:space="preserve">Fully functional tvOS app on TestFlight</t>
  </si>
  <si>
    <t xml:space="preserve">TOTAL</t>
  </si>
  <si>
    <t xml:space="preserve">6–7.5</t>
  </si>
  <si>
    <t xml:space="preserve">ID</t>
  </si>
  <si>
    <t xml:space="preserve">Task</t>
  </si>
  <si>
    <t xml:space="preserve">Subtasks / Acceptance Criteria</t>
  </si>
  <si>
    <t xml:space="preserve">Owner</t>
  </si>
  <si>
    <t xml:space="preserve">Est (hrs)</t>
  </si>
  <si>
    <t xml:space="preserve">Priority</t>
  </si>
  <si>
    <t xml:space="preserve">Depends On</t>
  </si>
  <si>
    <t xml:space="preserve">Status</t>
  </si>
  <si>
    <t xml:space="preserve">Notes</t>
  </si>
  <si>
    <t xml:space="preserve">🔧 PROJECT SETUP</t>
  </si>
  <si>
    <t xml:space="preserve">P0-01</t>
  </si>
  <si>
    <t xml:space="preserve">Create Xcode project (tvOS target)</t>
  </si>
  <si>
    <t xml:space="preserve">• tvOS app target with SwiftUI lifecycle
• Bundle ID, team signing, deployment target (tvOS 17.0+)
• Git repo init with .gitignore (Xcode, SPM)</t>
  </si>
  <si>
    <t xml:space="preserve">Lead</t>
  </si>
  <si>
    <t xml:space="preserve">P0</t>
  </si>
  <si>
    <t xml:space="preserve">—</t>
  </si>
  <si>
    <t xml:space="preserve">To Do</t>
  </si>
  <si>
    <t xml:space="preserve">Use Xcode 16+ for latest SwiftUI</t>
  </si>
  <si>
    <t xml:space="preserve">P0-02</t>
  </si>
  <si>
    <t xml:space="preserve">Add empty KMP shared module</t>
  </si>
  <si>
    <t xml:space="preserve">• Kotlin Multiplatform module with iOS framework target
• Gradle build compiles successfully
• SwiftUI app can import shared framework (empty)
• Directory structure: shared/src/commonMain, iosMain</t>
  </si>
  <si>
    <t xml:space="preserve">Use KMP wizard or SKIE for Swift interop</t>
  </si>
  <si>
    <t xml:space="preserve">P0-03</t>
  </si>
  <si>
    <t xml:space="preserve">Configure SPM dependencies</t>
  </si>
  <si>
    <t xml:space="preserve">• VLCKit (via SPM or CocoaPods)
• Kingfisher → replaced by Coil (add later via KMP)
• SQLDelight Gradle plugin in shared module
• Ktor client in shared module</t>
  </si>
  <si>
    <t xml:space="preserve">Pin exact versions in Package.resolved</t>
  </si>
  <si>
    <t xml:space="preserve">P0-04</t>
  </si>
  <si>
    <t xml:space="preserve">Project directory structure</t>
  </si>
  <si>
    <t xml:space="preserve">• /App (SwiftUI entry, tvOS views)
• /Shared (KMP module)
• /Features (per-feature modules)
• /Resources (assets, strings)
• README with build instructions</t>
  </si>
  <si>
    <t xml:space="preserve">🧪 M3U PARSER + TESTS</t>
  </si>
  <si>
    <t xml:space="preserve">P0-05</t>
  </si>
  <si>
    <t xml:space="preserve">Implement M3U/M3U8 parser (KMP)</t>
  </si>
  <si>
    <t xml:space="preserve">• Parse #EXTINF lines (name, group-title, tvg-id, tvg-logo, tvg-name)
• Parse stream URLs (http/https)
• Handle UTF-8 BOM, Windows line endings (\r\n)
• Handle missing/malformed fields gracefully (skip, don't crash)
• Return List&lt;Channel&gt; with error count</t>
  </si>
  <si>
    <t xml:space="preserve">Dev</t>
  </si>
  <si>
    <t xml:space="preserve">Write in commonMain so it runs on all targets</t>
  </si>
  <si>
    <t xml:space="preserve">P0-06</t>
  </si>
  <si>
    <t xml:space="preserve">Collect 10+ malformed M3U samples</t>
  </si>
  <si>
    <t xml:space="preserve">• At least 10 real-world playlists covering:
  - UTF-8 BOM + Windows CRLF
  - Missing group-title
  - Non-standard #EXTINF tags
  - Empty lines / comments mid-file
  - Huge file (5000+ entries)
  - Totally broken (HTML error page)
• Store in shared/src/commonTest/resources/</t>
  </si>
  <si>
    <t xml:space="preserve">Anonymize any real provider URLs</t>
  </si>
  <si>
    <t xml:space="preserve">P0-07</t>
  </si>
  <si>
    <t xml:space="preserve">Unit tests for M3U parser</t>
  </si>
  <si>
    <t xml:space="preserve">• ≥95% line coverage on parser module
• Test each malformed sample parses without crash
• Test correct field extraction (name, group, logo, tvg_id)
• Test error counting (X entries skipped)
• Test empty input, null URL, huge file (&gt;5K entries)
• All tests pass on JVM + iOS targets</t>
  </si>
  <si>
    <t xml:space="preserve">P0-05, P0-06</t>
  </si>
  <si>
    <t xml:space="preserve">Use kotlin.test for KMP-compatible tests</t>
  </si>
  <si>
    <t xml:space="preserve">P0-08</t>
  </si>
  <si>
    <t xml:space="preserve">Implement Xtream Codes API client (KMP)</t>
  </si>
  <si>
    <t xml:space="preserve">• Authenticate: GET /player_api.php?username=X&amp;password=Y
• Get live categories, live streams, VOD categories, VOD streams, series
• Parse JSON responses to shared models
• Handle auth failure, timeout, malformed JSON gracefully
• Ktor HttpClient with configurable timeout</t>
  </si>
  <si>
    <t xml:space="preserve">Use Ktor + kotlinx.serialization</t>
  </si>
  <si>
    <t xml:space="preserve">P0-09</t>
  </si>
  <si>
    <t xml:space="preserve">Unit tests for Xtream client</t>
  </si>
  <si>
    <t xml:space="preserve">• Mock HTTP responses for all endpoints
• Test auth success + failure
• Test malformed JSON handling
• Test timeout behavior
• ≥90% coverage</t>
  </si>
  <si>
    <t xml:space="preserve">Use Ktor MockEngine</t>
  </si>
  <si>
    <t xml:space="preserve">⚙️ CI / CD PIPELINE</t>
  </si>
  <si>
    <t xml:space="preserve">P0-10</t>
  </si>
  <si>
    <t xml:space="preserve">GitHub Actions: build tvOS</t>
  </si>
  <si>
    <t xml:space="preserve">• Workflow triggers on push to main + PR
• Build tvOS target (xcodebuild)
• Cache SPM + Gradle dependencies
• Fail on compiler warnings (-Werror)
• Build time target: &lt;5 min</t>
  </si>
  <si>
    <t xml:space="preserve">Use macos-14 runner for Xcode 16</t>
  </si>
  <si>
    <t xml:space="preserve">P0-11</t>
  </si>
  <si>
    <t xml:space="preserve">GitHub Actions: run KMP tests</t>
  </si>
  <si>
    <t xml:space="preserve">• Run shared module tests (JVM + iOS simulator)
• Report test results as PR check
• Fail PR if any test fails
• Upload test report artifact</t>
  </si>
  <si>
    <t xml:space="preserve">JVM tests are faster — run first</t>
  </si>
  <si>
    <t xml:space="preserve">P0-12</t>
  </si>
  <si>
    <t xml:space="preserve">GitHub Actions: lint + format</t>
  </si>
  <si>
    <t xml:space="preserve">• SwiftLint for Swift code
• ktlint for Kotlin code
• Auto-format on PR (or fail)
• Consistent code style from day 1</t>
  </si>
  <si>
    <t xml:space="preserve">Add .swiftlint.yml + .editorconfig</t>
  </si>
  <si>
    <t xml:space="preserve">P0-13</t>
  </si>
  <si>
    <t xml:space="preserve">TestFlight setup</t>
  </si>
  <si>
    <t xml:space="preserve">• App Store Connect: create app record
• Provisioning profiles (dev + distribution)
• Manual TestFlight upload from local (automate later)
• Internal testing group created</t>
  </si>
  <si>
    <t xml:space="preserve">Need Apple Developer account ($99/yr)</t>
  </si>
  <si>
    <t xml:space="preserve">📐 ARCHITECTURE FOUNDATION</t>
  </si>
  <si>
    <t xml:space="preserve">P0-14</t>
  </si>
  <si>
    <t xml:space="preserve">SQLDelight schema v1</t>
  </si>
  <si>
    <t xml:space="preserve">• Create all tables from spec (Playlist, Channel, VodItem, WatchProgress, EpgProgram, SchemaVersion)
• PRAGMA foreign_keys = ON
• All indexes from spec
• Verify compiles on commonMain
• Write 3 basic queries (insert playlist, get channels, upsert progress)</t>
  </si>
  <si>
    <t xml:space="preserve">Schema from design spec §06</t>
  </si>
  <si>
    <t xml:space="preserve">P0-15</t>
  </si>
  <si>
    <t xml:space="preserve">TCA skeleton (tvOS)</t>
  </si>
  <si>
    <t xml:space="preserve">• Install TCA via SPM
• Create AppReducer with stub features
• Navigation router with sidebar destinations (Home, LiveTV, Movies, Shows, Emby, Favorites, Settings)
• Compiles and shows empty sidebar on tvOS simulator</t>
  </si>
  <si>
    <t xml:space="preserve">TCA 1.x with @Reducer macro</t>
  </si>
  <si>
    <t xml:space="preserve">P0-16</t>
  </si>
  <si>
    <t xml:space="preserve">Koin DI setup (KMP)</t>
  </si>
  <si>
    <t xml:space="preserve">• Koin module with stubs for repositories
• PlaylistRepository, ChannelRepository, EpgRepository protocols
• Wire into Swift via helper functions
• Verify DI resolves correctly in unit test</t>
  </si>
  <si>
    <t xml:space="preserve">≈ 6 working days (1 dev) or 3 days (2 devs)</t>
  </si>
  <si>
    <t xml:space="preserve">▶️ VIDEO PLAYER</t>
  </si>
  <si>
    <t xml:space="preserve">P1-01</t>
  </si>
  <si>
    <t xml:space="preserve">AVPlayer wrapper (SwiftUI)</t>
  </si>
  <si>
    <t xml:space="preserve">• AVPlayer wrapped in UIViewControllerRepresentable for tvOS
• Play/pause/seek controls
• Handle HLS (.m3u8) and MP4 streams
• Report player state (loading, playing, paused, error)
• Subtitle track selection (embedded + external SRT)</t>
  </si>
  <si>
    <t xml:space="preserve">MVP</t>
  </si>
  <si>
    <t xml:space="preserve">Use AVPlayerViewController for native tvOS controls</t>
  </si>
  <si>
    <t xml:space="preserve">P1-02</t>
  </si>
  <si>
    <t xml:space="preserve">VLCKit fallback player</t>
  </si>
  <si>
    <t xml:space="preserve">• VLCMediaPlayer wrapper matching same interface as AVPlayer wrapper
• Handle MPEG-TS, MKV, exotic codecs
• Same state reporting (loading, playing, paused, error)
• On-demand resource download (don't bloat binary)</t>
  </si>
  <si>
    <t xml:space="preserve">Load via ODR to keep base binary small</t>
  </si>
  <si>
    <t xml:space="preserve">P1-03</t>
  </si>
  <si>
    <t xml:space="preserve">FFprobeKit stream probing</t>
  </si>
  <si>
    <t xml:space="preserve">• Probe stream URL before player selection (&lt;200ms target)
• Detect container format + codec
• Route to AVPlayer (HLS, MP4/H.264) or VLCKit (everything else)
• Timeout after 500ms → default to AVPlayer
• Log probe results for analytics</t>
  </si>
  <si>
    <t xml:space="preserve">FFprobeKit is lightweight, no full FFmpeg</t>
  </si>
  <si>
    <t xml:space="preserve">P1-04</t>
  </si>
  <si>
    <t xml:space="preserve">Reconnect logic (exponential backoff)</t>
  </si>
  <si>
    <t xml:space="preserve">• Detect playback failure (timeout, 403, stream ended)
• Auto-retry up to 3 times with backoff (1s, 3s, 7s)
• Re-probe stream on each retry
• After 3 failures: show error state with manual retry + "Try VLCKit"
• Log error codes for analytics</t>
  </si>
  <si>
    <t xml:space="preserve">P1-01, P1-03</t>
  </si>
  <si>
    <t xml:space="preserve">P1-05</t>
  </si>
  <si>
    <t xml:space="preserve">Player state machine (KMP shared)</t>
  </si>
  <si>
    <t xml:space="preserve">• Shared PlayerState enum (idle, loading, probing, playing, paused, error, reconnecting)
• State transitions enforced (no invalid jumps)
• Expose via Kotlinx.coroutines StateFlow
• Swift consumes via TCA integration</t>
  </si>
  <si>
    <t xml:space="preserve">Core of the shared player logic</t>
  </si>
  <si>
    <t xml:space="preserve">📡 LIVE TV</t>
  </si>
  <si>
    <t xml:space="preserve">P1-06</t>
  </si>
  <si>
    <t xml:space="preserve">Channel list screen (tvOS)</t>
  </si>
  <si>
    <t xml:space="preserve">• Sidebar category filter (groups from M3U)
• Channel grid/list with logo, name, now/next EPG
• Focus engine: smooth scrolling, scale on focus
• Tap → full-screen player
• Channel number badge on each tile</t>
  </si>
  <si>
    <t xml:space="preserve">P0-15, P0-05</t>
  </si>
  <si>
    <t xml:space="preserve">LazyVGrid with focusable items</t>
  </si>
  <si>
    <t xml:space="preserve">P1-07</t>
  </si>
  <si>
    <t xml:space="preserve">Channel number entry overlay</t>
  </si>
  <si>
    <t xml:space="preserve">• Number input via Siri Remote (game controller API or numpad)
• Overlay shows typed digits with 2s auto-dismiss
• Jump to matching channel_num
• If no match, show brief "Not found" toast</t>
  </si>
  <si>
    <t xml:space="preserve">Use GCController API for number buttons</t>
  </si>
  <si>
    <t xml:space="preserve">P1-08</t>
  </si>
  <si>
    <t xml:space="preserve">Quick Channel Switcher overlay</t>
  </si>
  <si>
    <t xml:space="preserve">• Swipe down during playback → overlay with favorites + recents
• Horizontal scrollable row with channel tiles
• Select → instant channel switch (no return to list)
• Swipe up or timeout → dismiss overlay
• Audio continues during overlay</t>
  </si>
  <si>
    <t xml:space="preserve">P1-01, P1-06</t>
  </si>
  <si>
    <t xml:space="preserve">Critical UX — every IPTV app needs this</t>
  </si>
  <si>
    <t xml:space="preserve">P1-09</t>
  </si>
  <si>
    <t xml:space="preserve">Full-screen player overlay (tvOS)</t>
  </si>
  <si>
    <t xml:space="preserve">• Tap to show/hide transport controls
• Channel name + now playing (from EPG)
• Progress bar for VOD, live indicator for streams
• Subtitle / audio track picker
• Swipe down → quick channel switcher
• Auto-hide after 5s inactivity</t>
  </si>
  <si>
    <t xml:space="preserve">P1-01, P1-08</t>
  </si>
  <si>
    <t xml:space="preserve">P1-10</t>
  </si>
  <si>
    <t xml:space="preserve">Player error / buffering state</t>
  </si>
  <si>
    <t xml:space="preserve">• Full-screen "No Signal" with spinner
• Auto-retry countdown (visible to user)
• Manual "Retry" button
• "Try alternate player" button (AVPlayer ↔ VLCKit)
• Error code display for troubleshooting</t>
  </si>
  <si>
    <t xml:space="preserve">📺 EPG</t>
  </si>
  <si>
    <t xml:space="preserve">P1-11</t>
  </si>
  <si>
    <t xml:space="preserve">XMLTV parser (incremental, KMP)</t>
  </si>
  <si>
    <t xml:space="preserve">• SAX-style streaming parser (not DOM)
• Parse &lt;programme&gt; elements incrementally
• INSERT OR REPLACE into SQLite (upsert)
• Background thread with progress callback
• Handle 50–200 MB files without OOM
• Purge programs older than 7 days</t>
  </si>
  <si>
    <t xml:space="preserve">Memory budget: &lt;100MB during parse</t>
  </si>
  <si>
    <t xml:space="preserve">P1-12</t>
  </si>
  <si>
    <t xml:space="preserve">EPG list view (now/next badges)</t>
  </si>
  <si>
    <t xml:space="preserve">• On channel list: show current + next program
• Program name + time range
• Progress bar showing how far into current program
• Refresh every 60s
• Tap on EPG badge → program detail sheet</t>
  </si>
  <si>
    <t xml:space="preserve">P1-11, P1-06</t>
  </si>
  <si>
    <t xml:space="preserve">P1-13</t>
  </si>
  <si>
    <t xml:space="preserve">EPG grid view (timeline)</t>
  </si>
  <si>
    <t xml:space="preserve">• Horizontal scrollable timeline (24h range)
• Vertical channel list (left axis)
• Program blocks with title + duration
• "Now" marker line
• Focus on program → show detail
• Select program → play channel
• Voice search button (prominent)</t>
  </si>
  <si>
    <t xml:space="preserve">Most complex UI component in the app</t>
  </si>
  <si>
    <t xml:space="preserve">🏠 HOME + NAVIGATION</t>
  </si>
  <si>
    <t xml:space="preserve">P1-14</t>
  </si>
  <si>
    <t xml:space="preserve">tvOS sidebar navigation</t>
  </si>
  <si>
    <t xml:space="preserve">• Persistent sidebar: Home, Live TV, Movies, TV Shows, Emby, Favorites, Settings
• Focus-driven with scale + highlight on focused item
• Sidebar collapses when content is focused
• Deep link support for Top Shelf</t>
  </si>
  <si>
    <t xml:space="preserve">TabView with .sidebarAdaptable on tvOS 18+</t>
  </si>
  <si>
    <t xml:space="preserve">P1-15</t>
  </si>
  <si>
    <t xml:space="preserve">Home screen</t>
  </si>
  <si>
    <t xml:space="preserve">• Hero card with continue watching (parallax on focus)
• Favorites row (horizontal scroll)
• Recent channels row
• Recently watched VOD row
• Empty states for first-run</t>
  </si>
  <si>
    <t xml:space="preserve">P1-16</t>
  </si>
  <si>
    <t xml:space="preserve">Now Playing mini-bar</t>
  </si>
  <si>
    <t xml:space="preserve">• Persistent bar at bottom of Home when stream is active
• Shows: live dot, channel name, program title
• Tap → return to full-screen player
• Animates in/out smoothly
• Respects safe areas</t>
  </si>
  <si>
    <t xml:space="preserve">P1-01, P1-15</t>
  </si>
  <si>
    <t xml:space="preserve">Similar to Apple TV Music mini-player</t>
  </si>
  <si>
    <t xml:space="preserve">P1-17</t>
  </si>
  <si>
    <t xml:space="preserve">Favorites &amp; recents engine (KMP)</t>
  </si>
  <si>
    <t xml:space="preserve">• Toggle favorite on Channel (update is_favorite)
• Track watch progress in WatchProgress table
• Query: get favorites ordered by name
• Query: get recents ordered by updated_at DESC
• Expose via repository with StateFlow</t>
  </si>
  <si>
    <t xml:space="preserve">🎬 EMBY INTEGRATION</t>
  </si>
  <si>
    <t xml:space="preserve">P1-18</t>
  </si>
  <si>
    <t xml:space="preserve">Emby API client (KMP)</t>
  </si>
  <si>
    <t xml:space="preserve">• Authenticate: POST /Users/AuthenticateByName
• Get libraries: GET /Library/MediaFolders
• Get items: GET /Items (movies, series, episodes)
• Get stream URL: GET /Items/{id}/PlaybackInfo
• Report playback progress: POST /Sessions/Playing
• Handle auth token refresh + expiry</t>
  </si>
  <si>
    <t xml:space="preserve">Ktor client with auth interceptor</t>
  </si>
  <si>
    <t xml:space="preserve">P1-19</t>
  </si>
  <si>
    <t xml:space="preserve">Emby browser screen (tvOS)</t>
  </si>
  <si>
    <t xml:space="preserve">• Library selector (Movies, TV Shows, Music, etc.)
• Poster grid with title + year
• Focus parallax on posters
• Continue watching row (from Emby API)
• Pull-to-refresh</t>
  </si>
  <si>
    <t xml:space="preserve">P1-18, P1-14</t>
  </si>
  <si>
    <t xml:space="preserve">P1-20</t>
  </si>
  <si>
    <t xml:space="preserve">Detail view (movie/show)</t>
  </si>
  <si>
    <t xml:space="preserve">• Hero backdrop image
• Title, year, rating, genre, description
• Play / Resume button
• For series: season picker → episode list with thumbnails
• Related content row (if available)</t>
  </si>
  <si>
    <t xml:space="preserve">Reuse for both IPTV VOD and Emby</t>
  </si>
  <si>
    <t xml:space="preserve">⚙️ SETTINGS + ONBOARDING</t>
  </si>
  <si>
    <t xml:space="preserve">P1-21</t>
  </si>
  <si>
    <t xml:space="preserve">Onboarding flow (tvOS)</t>
  </si>
  <si>
    <t xml:space="preserve">• Welcome screen with app branding
• Legal disclaimer (full text from spec)
• Add first source: M3U URL / Xtream / Emby
• QR code for iOS pairing (placeholder for v2)
• Test connection → parse → Home</t>
  </si>
  <si>
    <t xml:space="preserve">Legal text is critical for App Store approval</t>
  </si>
  <si>
    <t xml:space="preserve">P1-22</t>
  </si>
  <si>
    <t xml:space="preserve">Add Source screen</t>
  </si>
  <si>
    <t xml:space="preserve">• Source type tabs (M3U, Xtream, Emby)
• M3U: URL field + optional EPG URL
• Xtream: Server URL, username, password
• Emby: Server URL, username, password
• "Test Connection" button with spinner
• Save to Playlist table + Keychain</t>
  </si>
  <si>
    <t xml:space="preserve">P0-14, P1-18</t>
  </si>
  <si>
    <t xml:space="preserve">Credentials → Keychain, never SQLite</t>
  </si>
  <si>
    <t xml:space="preserve">P1-23</t>
  </si>
  <si>
    <t xml:space="preserve">Settings screen</t>
  </si>
  <si>
    <t xml:space="preserve">• Source management (edit, delete, reorder)
• Playback preferences (default player, buffer size)
• Section visibility (hide/show Live TV, Movies, etc.)
• Default launch section
• About / version / legal</t>
  </si>
  <si>
    <t xml:space="preserve">P1-24</t>
  </si>
  <si>
    <t xml:space="preserve">Top Shelf extension</t>
  </si>
  <si>
    <t xml:space="preserve">• TV Top Shelf Content Provider
• Sectioned layout: Favorites + Recents
• Poster images from channel logos / VOD posters
• Deep link to channel / content on tap
• Refresh on app background</t>
  </si>
  <si>
    <t xml:space="preserve">Requires separate extension target</t>
  </si>
  <si>
    <t xml:space="preserve">🔗 INTEGRATION + POLISH</t>
  </si>
  <si>
    <t xml:space="preserve">P1-25</t>
  </si>
  <si>
    <t xml:space="preserve">Playlist auto-refresh</t>
  </si>
  <si>
    <t xml:space="preserve">• Refresh on app launch (if stale per refresh_hrs)
• Background refresh via BGTaskScheduler
• User-configurable interval (1/2/3/7 days)
• Show last-synced timestamp in Settings
• Don't refresh if on cellular (iOS)</t>
  </si>
  <si>
    <t xml:space="preserve">P0-05, P0-08</t>
  </si>
  <si>
    <t xml:space="preserve">P1-26</t>
  </si>
  <si>
    <t xml:space="preserve">Movies screen (VOD from IPTV)</t>
  </si>
  <si>
    <t xml:space="preserve">• Extract VOD movies from M3U/Xtream
• Poster grid with genre filter + sort (A-Z, year, recent)
• Search within movies
• Detail view → play
• Handle missing posters gracefully</t>
  </si>
  <si>
    <t xml:space="preserve">P0-05, P1-14</t>
  </si>
  <si>
    <t xml:space="preserve">Reuse detail view from P1-20</t>
  </si>
  <si>
    <t xml:space="preserve">P1-27</t>
  </si>
  <si>
    <t xml:space="preserve">TV Shows screen (VOD series)</t>
  </si>
  <si>
    <t xml:space="preserve">• Series grid → Season list → Episode list
• Episode thumbnails (if available)
• Resume from last-watched episode
• Mark as watched</t>
  </si>
  <si>
    <t xml:space="preserve">P1-28</t>
  </si>
  <si>
    <t xml:space="preserve">AirPlay 2 sender</t>
  </si>
  <si>
    <t xml:space="preserve">• Expose AVRoutePickerView in player overlay
• AirPlay icon in transport controls
• Works automatically with AVPlayer
• VLCKit: requires manual AirPlay setup</t>
  </si>
  <si>
    <t xml:space="preserve">Free with AVPlayer — just expose the UI</t>
  </si>
  <si>
    <t xml:space="preserve">P1-29</t>
  </si>
  <si>
    <t xml:space="preserve">Performance pass (NFR targets)</t>
  </si>
  <si>
    <t xml:space="preserve">• Profile with Instruments on Apple TV HD
• Cold start &lt;2.2s
• Channel switch &lt;1.5s
• 60fps scrolling on 4K, 30fps min on HD
• Memory &lt;450MB peak during EPG + playback
• Fix any violations before TestFlight</t>
  </si>
  <si>
    <t xml:space="preserve">All P1</t>
  </si>
  <si>
    <t xml:space="preserve">Blocks TestFlight upload</t>
  </si>
  <si>
    <t xml:space="preserve">≈ 5–6 weeks (1 dev) or 3 weeks (2 devs with pairing)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</si>
</sst>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333344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0"/>
      <color rgb="FF6C5CE7"/>
      <name val="Arial"/>
      <family val="0"/>
      <charset val="1"/>
    </font>
    <font>
      <sz val="10"/>
      <color rgb="FF66668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75A"/>
      <name val="Arial"/>
      <family val="0"/>
      <charset val="1"/>
    </font>
    <font>
      <b val="true"/>
      <sz val="9"/>
      <color rgb="FF00875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333344"/>
      </patternFill>
    </fill>
    <fill>
      <patternFill patternType="solid">
        <fgColor rgb="FFE8E8F0"/>
        <bgColor rgb="FFFCE4E4"/>
      </patternFill>
    </fill>
    <fill>
      <patternFill patternType="solid">
        <fgColor rgb="FFFCE4E4"/>
        <bgColor rgb="FFE8E8F0"/>
      </patternFill>
    </fill>
    <fill>
      <patternFill patternType="solid">
        <fgColor rgb="FFE6F9F0"/>
        <bgColor rgb="FFE8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E0"/>
      </left>
      <right style="thin">
        <color rgb="FFD0D0E0"/>
      </right>
      <top style="thin">
        <color rgb="FFD0D0E0"/>
      </top>
      <bottom style="thin">
        <color rgb="FFD0D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5A"/>
      <rgbColor rgb="FFC0C0C0"/>
      <rgbColor rgb="FF808080"/>
      <rgbColor rgb="FF9999FF"/>
      <rgbColor rgb="FF993366"/>
      <rgbColor rgb="FFFCE4E4"/>
      <rgbColor rgb="FFE6F9F0"/>
      <rgbColor rgb="FF660066"/>
      <rgbColor rgb="FFFF8080"/>
      <rgbColor rgb="FF0066CC"/>
      <rgbColor rgb="FFD0D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F0"/>
      <rgbColor rgb="FFCCFFCC"/>
      <rgbColor rgb="FFFFFF99"/>
      <rgbColor rgb="FF99CCFF"/>
      <rgbColor rgb="FFFF99CC"/>
      <rgbColor rgb="FFCC99FF"/>
      <rgbColor rgb="FFFFCC99"/>
      <rgbColor rgb="FF6C5CE7"/>
      <rgbColor rgb="FF33CCCC"/>
      <rgbColor rgb="FF99CC00"/>
      <rgbColor rgb="FFFFCC00"/>
      <rgbColor rgb="FFFF9900"/>
      <rgbColor rgb="FFFF6600"/>
      <rgbColor rgb="FF666680"/>
      <rgbColor rgb="FF969696"/>
      <rgbColor rgb="FF003366"/>
      <rgbColor rgb="FF339966"/>
      <rgbColor rgb="FF003300"/>
      <rgbColor rgb="FF1A1A2E"/>
      <rgbColor rgb="FFC0392B"/>
      <rgbColor rgb="FF993366"/>
      <rgbColor rgb="FF333399"/>
      <rgbColor rgb="FF3333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5CE7"/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16</v>
      </c>
      <c r="C2" s="3" t="n">
        <f aca="false">'Phase 0 — Scaffolding'!E22</f>
        <v>0</v>
      </c>
      <c r="D2" s="3" t="n">
        <f aca="false">C2/8</f>
        <v>0</v>
      </c>
      <c r="E2" s="3" t="s">
        <v>7</v>
      </c>
      <c r="F2" s="3" t="s">
        <v>8</v>
      </c>
    </row>
    <row r="3" customFormat="false" ht="15" hidden="false" customHeight="false" outlineLevel="0" collapsed="false">
      <c r="A3" s="2" t="s">
        <v>9</v>
      </c>
      <c r="B3" s="3" t="n">
        <v>29</v>
      </c>
      <c r="C3" s="3" t="n">
        <f aca="false">'Phase 1 — tvOS MVP'!E38</f>
        <v>0</v>
      </c>
      <c r="D3" s="3" t="n">
        <f aca="false">C3/8</f>
        <v>0</v>
      </c>
      <c r="E3" s="3" t="s">
        <v>10</v>
      </c>
      <c r="F3" s="3" t="s">
        <v>11</v>
      </c>
    </row>
    <row r="4" customFormat="false" ht="15" hidden="false" customHeight="false" outlineLevel="0" collapsed="false">
      <c r="A4" s="4" t="s">
        <v>12</v>
      </c>
      <c r="B4" s="5" t="n">
        <f aca="false">SUM(B2:B3)</f>
        <v>45</v>
      </c>
      <c r="C4" s="5" t="n">
        <f aca="false">SUM(C2:C3)</f>
        <v>0</v>
      </c>
      <c r="D4" s="5" t="n">
        <f aca="false">C4/8</f>
        <v>0</v>
      </c>
      <c r="E4" s="5" t="s">
        <v>13</v>
      </c>
      <c r="F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9" min="9" style="0" width="40"/>
  </cols>
  <sheetData>
    <row r="1" customFormat="false" ht="26.8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customFormat="false" ht="15" hidden="false" customHeight="false" outlineLevel="0" collapsed="false">
      <c r="A2" s="6"/>
      <c r="B2" s="7" t="s">
        <v>23</v>
      </c>
      <c r="C2" s="7"/>
      <c r="D2" s="7"/>
      <c r="E2" s="7"/>
      <c r="F2" s="7"/>
      <c r="G2" s="7"/>
      <c r="H2" s="7"/>
      <c r="I2" s="7"/>
    </row>
    <row r="3" customFormat="false" ht="72" hidden="false" customHeight="true" outlineLevel="0" collapsed="false">
      <c r="A3" s="8" t="s">
        <v>24</v>
      </c>
      <c r="B3" s="2" t="s">
        <v>25</v>
      </c>
      <c r="C3" s="9" t="s">
        <v>26</v>
      </c>
      <c r="D3" s="3" t="s">
        <v>27</v>
      </c>
      <c r="E3" s="3" t="n">
        <v>2</v>
      </c>
      <c r="F3" s="10" t="s">
        <v>28</v>
      </c>
      <c r="G3" s="11" t="s">
        <v>29</v>
      </c>
      <c r="H3" s="3" t="s">
        <v>30</v>
      </c>
      <c r="I3" s="9" t="s">
        <v>31</v>
      </c>
    </row>
    <row r="4" customFormat="false" ht="72" hidden="false" customHeight="true" outlineLevel="0" collapsed="false">
      <c r="A4" s="8" t="s">
        <v>32</v>
      </c>
      <c r="B4" s="2" t="s">
        <v>33</v>
      </c>
      <c r="C4" s="9" t="s">
        <v>34</v>
      </c>
      <c r="D4" s="3" t="s">
        <v>27</v>
      </c>
      <c r="E4" s="3" t="n">
        <v>4</v>
      </c>
      <c r="F4" s="10" t="s">
        <v>28</v>
      </c>
      <c r="G4" s="11" t="s">
        <v>24</v>
      </c>
      <c r="H4" s="3" t="s">
        <v>30</v>
      </c>
      <c r="I4" s="9" t="s">
        <v>35</v>
      </c>
    </row>
    <row r="5" customFormat="false" ht="72" hidden="false" customHeight="true" outlineLevel="0" collapsed="false">
      <c r="A5" s="8" t="s">
        <v>36</v>
      </c>
      <c r="B5" s="2" t="s">
        <v>37</v>
      </c>
      <c r="C5" s="9" t="s">
        <v>38</v>
      </c>
      <c r="D5" s="3" t="s">
        <v>27</v>
      </c>
      <c r="E5" s="3" t="n">
        <v>3</v>
      </c>
      <c r="F5" s="10" t="s">
        <v>28</v>
      </c>
      <c r="G5" s="11" t="s">
        <v>32</v>
      </c>
      <c r="H5" s="3" t="s">
        <v>30</v>
      </c>
      <c r="I5" s="9" t="s">
        <v>39</v>
      </c>
    </row>
    <row r="6" customFormat="false" ht="72" hidden="false" customHeight="true" outlineLevel="0" collapsed="false">
      <c r="A6" s="8" t="s">
        <v>40</v>
      </c>
      <c r="B6" s="2" t="s">
        <v>41</v>
      </c>
      <c r="C6" s="9" t="s">
        <v>42</v>
      </c>
      <c r="D6" s="3" t="s">
        <v>27</v>
      </c>
      <c r="E6" s="3" t="n">
        <v>1</v>
      </c>
      <c r="F6" s="10" t="s">
        <v>28</v>
      </c>
      <c r="G6" s="11" t="s">
        <v>24</v>
      </c>
      <c r="H6" s="3" t="s">
        <v>30</v>
      </c>
      <c r="I6" s="9"/>
    </row>
    <row r="7" customFormat="false" ht="15" hidden="false" customHeight="false" outlineLevel="0" collapsed="false">
      <c r="A7" s="6"/>
      <c r="B7" s="7" t="s">
        <v>43</v>
      </c>
      <c r="C7" s="7"/>
      <c r="D7" s="7"/>
      <c r="E7" s="7"/>
      <c r="F7" s="7"/>
      <c r="G7" s="7"/>
      <c r="H7" s="7"/>
      <c r="I7" s="7"/>
    </row>
    <row r="8" customFormat="false" ht="72" hidden="false" customHeight="true" outlineLevel="0" collapsed="false">
      <c r="A8" s="8" t="s">
        <v>44</v>
      </c>
      <c r="B8" s="2" t="s">
        <v>45</v>
      </c>
      <c r="C8" s="9" t="s">
        <v>46</v>
      </c>
      <c r="D8" s="3" t="s">
        <v>47</v>
      </c>
      <c r="E8" s="3" t="n">
        <v>6</v>
      </c>
      <c r="F8" s="10" t="s">
        <v>28</v>
      </c>
      <c r="G8" s="11" t="s">
        <v>32</v>
      </c>
      <c r="H8" s="3" t="s">
        <v>30</v>
      </c>
      <c r="I8" s="9" t="s">
        <v>48</v>
      </c>
    </row>
    <row r="9" customFormat="false" ht="72" hidden="false" customHeight="true" outlineLevel="0" collapsed="false">
      <c r="A9" s="8" t="s">
        <v>49</v>
      </c>
      <c r="B9" s="2" t="s">
        <v>50</v>
      </c>
      <c r="C9" s="9" t="s">
        <v>51</v>
      </c>
      <c r="D9" s="3" t="s">
        <v>47</v>
      </c>
      <c r="E9" s="3" t="n">
        <v>2</v>
      </c>
      <c r="F9" s="10" t="s">
        <v>28</v>
      </c>
      <c r="G9" s="11" t="s">
        <v>29</v>
      </c>
      <c r="H9" s="3" t="s">
        <v>30</v>
      </c>
      <c r="I9" s="9" t="s">
        <v>52</v>
      </c>
    </row>
    <row r="10" customFormat="false" ht="72" hidden="false" customHeight="true" outlineLevel="0" collapsed="false">
      <c r="A10" s="8" t="s">
        <v>53</v>
      </c>
      <c r="B10" s="2" t="s">
        <v>54</v>
      </c>
      <c r="C10" s="9" t="s">
        <v>55</v>
      </c>
      <c r="D10" s="3" t="s">
        <v>47</v>
      </c>
      <c r="E10" s="3" t="n">
        <v>4</v>
      </c>
      <c r="F10" s="10" t="s">
        <v>28</v>
      </c>
      <c r="G10" s="11" t="s">
        <v>56</v>
      </c>
      <c r="H10" s="3" t="s">
        <v>30</v>
      </c>
      <c r="I10" s="9" t="s">
        <v>57</v>
      </c>
    </row>
    <row r="11" customFormat="false" ht="72" hidden="false" customHeight="true" outlineLevel="0" collapsed="false">
      <c r="A11" s="8" t="s">
        <v>58</v>
      </c>
      <c r="B11" s="2" t="s">
        <v>59</v>
      </c>
      <c r="C11" s="9" t="s">
        <v>60</v>
      </c>
      <c r="D11" s="3" t="s">
        <v>47</v>
      </c>
      <c r="E11" s="3" t="n">
        <v>6</v>
      </c>
      <c r="F11" s="10" t="s">
        <v>28</v>
      </c>
      <c r="G11" s="11" t="s">
        <v>36</v>
      </c>
      <c r="H11" s="3" t="s">
        <v>30</v>
      </c>
      <c r="I11" s="9" t="s">
        <v>61</v>
      </c>
    </row>
    <row r="12" customFormat="false" ht="72" hidden="false" customHeight="true" outlineLevel="0" collapsed="false">
      <c r="A12" s="8" t="s">
        <v>62</v>
      </c>
      <c r="B12" s="2" t="s">
        <v>63</v>
      </c>
      <c r="C12" s="9" t="s">
        <v>64</v>
      </c>
      <c r="D12" s="3" t="s">
        <v>47</v>
      </c>
      <c r="E12" s="3" t="n">
        <v>3</v>
      </c>
      <c r="F12" s="10" t="s">
        <v>28</v>
      </c>
      <c r="G12" s="11" t="s">
        <v>58</v>
      </c>
      <c r="H12" s="3" t="s">
        <v>30</v>
      </c>
      <c r="I12" s="9" t="s">
        <v>65</v>
      </c>
    </row>
    <row r="13" customFormat="false" ht="15" hidden="false" customHeight="false" outlineLevel="0" collapsed="false">
      <c r="A13" s="6"/>
      <c r="B13" s="7" t="s">
        <v>66</v>
      </c>
      <c r="C13" s="7"/>
      <c r="D13" s="7"/>
      <c r="E13" s="7"/>
      <c r="F13" s="7"/>
      <c r="G13" s="7"/>
      <c r="H13" s="7"/>
      <c r="I13" s="7"/>
    </row>
    <row r="14" customFormat="false" ht="72" hidden="false" customHeight="true" outlineLevel="0" collapsed="false">
      <c r="A14" s="8" t="s">
        <v>67</v>
      </c>
      <c r="B14" s="2" t="s">
        <v>68</v>
      </c>
      <c r="C14" s="9" t="s">
        <v>69</v>
      </c>
      <c r="D14" s="3" t="s">
        <v>27</v>
      </c>
      <c r="E14" s="3" t="n">
        <v>3</v>
      </c>
      <c r="F14" s="10" t="s">
        <v>28</v>
      </c>
      <c r="G14" s="11" t="s">
        <v>24</v>
      </c>
      <c r="H14" s="3" t="s">
        <v>30</v>
      </c>
      <c r="I14" s="9" t="s">
        <v>70</v>
      </c>
    </row>
    <row r="15" customFormat="false" ht="72" hidden="false" customHeight="true" outlineLevel="0" collapsed="false">
      <c r="A15" s="8" t="s">
        <v>71</v>
      </c>
      <c r="B15" s="2" t="s">
        <v>72</v>
      </c>
      <c r="C15" s="9" t="s">
        <v>73</v>
      </c>
      <c r="D15" s="3" t="s">
        <v>27</v>
      </c>
      <c r="E15" s="3" t="n">
        <v>2</v>
      </c>
      <c r="F15" s="10" t="s">
        <v>28</v>
      </c>
      <c r="G15" s="11" t="s">
        <v>53</v>
      </c>
      <c r="H15" s="3" t="s">
        <v>30</v>
      </c>
      <c r="I15" s="9" t="s">
        <v>74</v>
      </c>
    </row>
    <row r="16" customFormat="false" ht="72" hidden="false" customHeight="true" outlineLevel="0" collapsed="false">
      <c r="A16" s="8" t="s">
        <v>75</v>
      </c>
      <c r="B16" s="2" t="s">
        <v>76</v>
      </c>
      <c r="C16" s="9" t="s">
        <v>77</v>
      </c>
      <c r="D16" s="3" t="s">
        <v>27</v>
      </c>
      <c r="E16" s="3" t="n">
        <v>2</v>
      </c>
      <c r="F16" s="10" t="s">
        <v>28</v>
      </c>
      <c r="G16" s="11" t="s">
        <v>67</v>
      </c>
      <c r="H16" s="3" t="s">
        <v>30</v>
      </c>
      <c r="I16" s="9" t="s">
        <v>78</v>
      </c>
    </row>
    <row r="17" customFormat="false" ht="72" hidden="false" customHeight="true" outlineLevel="0" collapsed="false">
      <c r="A17" s="8" t="s">
        <v>79</v>
      </c>
      <c r="B17" s="2" t="s">
        <v>80</v>
      </c>
      <c r="C17" s="9" t="s">
        <v>81</v>
      </c>
      <c r="D17" s="3" t="s">
        <v>27</v>
      </c>
      <c r="E17" s="3" t="n">
        <v>2</v>
      </c>
      <c r="F17" s="10" t="s">
        <v>28</v>
      </c>
      <c r="G17" s="11" t="s">
        <v>24</v>
      </c>
      <c r="H17" s="3" t="s">
        <v>30</v>
      </c>
      <c r="I17" s="9" t="s">
        <v>82</v>
      </c>
    </row>
    <row r="18" customFormat="false" ht="15" hidden="false" customHeight="false" outlineLevel="0" collapsed="false">
      <c r="A18" s="6"/>
      <c r="B18" s="7" t="s">
        <v>83</v>
      </c>
      <c r="C18" s="7"/>
      <c r="D18" s="7"/>
      <c r="E18" s="7"/>
      <c r="F18" s="7"/>
      <c r="G18" s="7"/>
      <c r="H18" s="7"/>
      <c r="I18" s="7"/>
    </row>
    <row r="19" customFormat="false" ht="72" hidden="false" customHeight="true" outlineLevel="0" collapsed="false">
      <c r="A19" s="8" t="s">
        <v>84</v>
      </c>
      <c r="B19" s="2" t="s">
        <v>85</v>
      </c>
      <c r="C19" s="9" t="s">
        <v>86</v>
      </c>
      <c r="D19" s="3" t="s">
        <v>47</v>
      </c>
      <c r="E19" s="3" t="n">
        <v>3</v>
      </c>
      <c r="F19" s="10" t="s">
        <v>28</v>
      </c>
      <c r="G19" s="11" t="s">
        <v>36</v>
      </c>
      <c r="H19" s="3" t="s">
        <v>30</v>
      </c>
      <c r="I19" s="9" t="s">
        <v>87</v>
      </c>
    </row>
    <row r="20" customFormat="false" ht="72" hidden="false" customHeight="true" outlineLevel="0" collapsed="false">
      <c r="A20" s="8" t="s">
        <v>88</v>
      </c>
      <c r="B20" s="2" t="s">
        <v>89</v>
      </c>
      <c r="C20" s="9" t="s">
        <v>90</v>
      </c>
      <c r="D20" s="3" t="s">
        <v>27</v>
      </c>
      <c r="E20" s="3" t="n">
        <v>4</v>
      </c>
      <c r="F20" s="10" t="s">
        <v>28</v>
      </c>
      <c r="G20" s="11" t="s">
        <v>36</v>
      </c>
      <c r="H20" s="3" t="s">
        <v>30</v>
      </c>
      <c r="I20" s="9" t="s">
        <v>91</v>
      </c>
    </row>
    <row r="21" customFormat="false" ht="72" hidden="false" customHeight="true" outlineLevel="0" collapsed="false">
      <c r="A21" s="8" t="s">
        <v>92</v>
      </c>
      <c r="B21" s="2" t="s">
        <v>93</v>
      </c>
      <c r="C21" s="9" t="s">
        <v>94</v>
      </c>
      <c r="D21" s="3" t="s">
        <v>47</v>
      </c>
      <c r="E21" s="3" t="n">
        <v>2</v>
      </c>
      <c r="F21" s="10" t="s">
        <v>28</v>
      </c>
      <c r="G21" s="11" t="s">
        <v>32</v>
      </c>
      <c r="H21" s="3" t="s">
        <v>30</v>
      </c>
      <c r="I21" s="9"/>
    </row>
    <row r="23" customFormat="false" ht="15" hidden="false" customHeight="false" outlineLevel="0" collapsed="false">
      <c r="D23" s="12" t="s">
        <v>12</v>
      </c>
      <c r="E23" s="13" t="n">
        <f aca="false">SUM(E2:E21)</f>
        <v>49</v>
      </c>
      <c r="I23" s="14" t="s">
        <v>95</v>
      </c>
    </row>
  </sheetData>
  <mergeCells count="4">
    <mergeCell ref="B2:I2"/>
    <mergeCell ref="B7:I7"/>
    <mergeCell ref="B13:I13"/>
    <mergeCell ref="B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75A"/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9" min="9" style="0" width="40"/>
  </cols>
  <sheetData>
    <row r="1" customFormat="false" ht="26.8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customFormat="false" ht="15" hidden="false" customHeight="false" outlineLevel="0" collapsed="false">
      <c r="A2" s="6"/>
      <c r="B2" s="7" t="s">
        <v>96</v>
      </c>
      <c r="C2" s="7"/>
      <c r="D2" s="7"/>
      <c r="E2" s="7"/>
      <c r="F2" s="7"/>
      <c r="G2" s="7"/>
      <c r="H2" s="7"/>
      <c r="I2" s="7"/>
    </row>
    <row r="3" customFormat="false" ht="79.5" hidden="false" customHeight="true" outlineLevel="0" collapsed="false">
      <c r="A3" s="15" t="s">
        <v>97</v>
      </c>
      <c r="B3" s="2" t="s">
        <v>98</v>
      </c>
      <c r="C3" s="9" t="s">
        <v>99</v>
      </c>
      <c r="D3" s="3" t="s">
        <v>47</v>
      </c>
      <c r="E3" s="3" t="n">
        <v>8</v>
      </c>
      <c r="F3" s="16" t="s">
        <v>100</v>
      </c>
      <c r="G3" s="11" t="s">
        <v>88</v>
      </c>
      <c r="H3" s="3" t="s">
        <v>30</v>
      </c>
      <c r="I3" s="9" t="s">
        <v>101</v>
      </c>
    </row>
    <row r="4" customFormat="false" ht="79.5" hidden="false" customHeight="true" outlineLevel="0" collapsed="false">
      <c r="A4" s="15" t="s">
        <v>102</v>
      </c>
      <c r="B4" s="2" t="s">
        <v>103</v>
      </c>
      <c r="C4" s="9" t="s">
        <v>104</v>
      </c>
      <c r="D4" s="3" t="s">
        <v>47</v>
      </c>
      <c r="E4" s="3" t="n">
        <v>6</v>
      </c>
      <c r="F4" s="16" t="s">
        <v>100</v>
      </c>
      <c r="G4" s="11" t="s">
        <v>97</v>
      </c>
      <c r="H4" s="3" t="s">
        <v>30</v>
      </c>
      <c r="I4" s="9" t="s">
        <v>105</v>
      </c>
    </row>
    <row r="5" customFormat="false" ht="79.5" hidden="false" customHeight="true" outlineLevel="0" collapsed="false">
      <c r="A5" s="15" t="s">
        <v>106</v>
      </c>
      <c r="B5" s="2" t="s">
        <v>107</v>
      </c>
      <c r="C5" s="9" t="s">
        <v>108</v>
      </c>
      <c r="D5" s="3" t="s">
        <v>47</v>
      </c>
      <c r="E5" s="3" t="n">
        <v>4</v>
      </c>
      <c r="F5" s="16" t="s">
        <v>100</v>
      </c>
      <c r="G5" s="11" t="s">
        <v>97</v>
      </c>
      <c r="H5" s="3" t="s">
        <v>30</v>
      </c>
      <c r="I5" s="9" t="s">
        <v>109</v>
      </c>
    </row>
    <row r="6" customFormat="false" ht="79.5" hidden="false" customHeight="true" outlineLevel="0" collapsed="false">
      <c r="A6" s="15" t="s">
        <v>110</v>
      </c>
      <c r="B6" s="2" t="s">
        <v>111</v>
      </c>
      <c r="C6" s="9" t="s">
        <v>112</v>
      </c>
      <c r="D6" s="3" t="s">
        <v>47</v>
      </c>
      <c r="E6" s="3" t="n">
        <v>4</v>
      </c>
      <c r="F6" s="16" t="s">
        <v>100</v>
      </c>
      <c r="G6" s="11" t="s">
        <v>113</v>
      </c>
      <c r="H6" s="3" t="s">
        <v>30</v>
      </c>
      <c r="I6" s="9"/>
    </row>
    <row r="7" customFormat="false" ht="79.5" hidden="false" customHeight="true" outlineLevel="0" collapsed="false">
      <c r="A7" s="15" t="s">
        <v>114</v>
      </c>
      <c r="B7" s="2" t="s">
        <v>115</v>
      </c>
      <c r="C7" s="9" t="s">
        <v>116</v>
      </c>
      <c r="D7" s="3" t="s">
        <v>47</v>
      </c>
      <c r="E7" s="3" t="n">
        <v>3</v>
      </c>
      <c r="F7" s="16" t="s">
        <v>100</v>
      </c>
      <c r="G7" s="11" t="s">
        <v>32</v>
      </c>
      <c r="H7" s="3" t="s">
        <v>30</v>
      </c>
      <c r="I7" s="9" t="s">
        <v>117</v>
      </c>
    </row>
    <row r="8" customFormat="false" ht="15" hidden="false" customHeight="false" outlineLevel="0" collapsed="false">
      <c r="A8" s="6"/>
      <c r="B8" s="7" t="s">
        <v>118</v>
      </c>
      <c r="C8" s="7"/>
      <c r="D8" s="7"/>
      <c r="E8" s="7"/>
      <c r="F8" s="7"/>
      <c r="G8" s="7"/>
      <c r="H8" s="7"/>
      <c r="I8" s="7"/>
    </row>
    <row r="9" customFormat="false" ht="79.5" hidden="false" customHeight="true" outlineLevel="0" collapsed="false">
      <c r="A9" s="15" t="s">
        <v>119</v>
      </c>
      <c r="B9" s="2" t="s">
        <v>120</v>
      </c>
      <c r="C9" s="9" t="s">
        <v>121</v>
      </c>
      <c r="D9" s="3" t="s">
        <v>47</v>
      </c>
      <c r="E9" s="3" t="n">
        <v>8</v>
      </c>
      <c r="F9" s="16" t="s">
        <v>100</v>
      </c>
      <c r="G9" s="11" t="s">
        <v>122</v>
      </c>
      <c r="H9" s="3" t="s">
        <v>30</v>
      </c>
      <c r="I9" s="9" t="s">
        <v>123</v>
      </c>
    </row>
    <row r="10" customFormat="false" ht="79.5" hidden="false" customHeight="true" outlineLevel="0" collapsed="false">
      <c r="A10" s="15" t="s">
        <v>124</v>
      </c>
      <c r="B10" s="2" t="s">
        <v>125</v>
      </c>
      <c r="C10" s="9" t="s">
        <v>126</v>
      </c>
      <c r="D10" s="3" t="s">
        <v>47</v>
      </c>
      <c r="E10" s="3" t="n">
        <v>3</v>
      </c>
      <c r="F10" s="16" t="s">
        <v>100</v>
      </c>
      <c r="G10" s="11" t="s">
        <v>119</v>
      </c>
      <c r="H10" s="3" t="s">
        <v>30</v>
      </c>
      <c r="I10" s="9" t="s">
        <v>127</v>
      </c>
    </row>
    <row r="11" customFormat="false" ht="79.5" hidden="false" customHeight="true" outlineLevel="0" collapsed="false">
      <c r="A11" s="15" t="s">
        <v>128</v>
      </c>
      <c r="B11" s="2" t="s">
        <v>129</v>
      </c>
      <c r="C11" s="9" t="s">
        <v>130</v>
      </c>
      <c r="D11" s="3" t="s">
        <v>47</v>
      </c>
      <c r="E11" s="3" t="n">
        <v>4</v>
      </c>
      <c r="F11" s="16" t="s">
        <v>100</v>
      </c>
      <c r="G11" s="11" t="s">
        <v>131</v>
      </c>
      <c r="H11" s="3" t="s">
        <v>30</v>
      </c>
      <c r="I11" s="9" t="s">
        <v>132</v>
      </c>
    </row>
    <row r="12" customFormat="false" ht="79.5" hidden="false" customHeight="true" outlineLevel="0" collapsed="false">
      <c r="A12" s="15" t="s">
        <v>133</v>
      </c>
      <c r="B12" s="2" t="s">
        <v>134</v>
      </c>
      <c r="C12" s="9" t="s">
        <v>135</v>
      </c>
      <c r="D12" s="3" t="s">
        <v>47</v>
      </c>
      <c r="E12" s="3" t="n">
        <v>6</v>
      </c>
      <c r="F12" s="16" t="s">
        <v>100</v>
      </c>
      <c r="G12" s="11" t="s">
        <v>136</v>
      </c>
      <c r="H12" s="3" t="s">
        <v>30</v>
      </c>
      <c r="I12" s="9"/>
    </row>
    <row r="13" customFormat="false" ht="79.5" hidden="false" customHeight="true" outlineLevel="0" collapsed="false">
      <c r="A13" s="15" t="s">
        <v>137</v>
      </c>
      <c r="B13" s="2" t="s">
        <v>138</v>
      </c>
      <c r="C13" s="9" t="s">
        <v>139</v>
      </c>
      <c r="D13" s="3" t="s">
        <v>47</v>
      </c>
      <c r="E13" s="3" t="n">
        <v>3</v>
      </c>
      <c r="F13" s="16" t="s">
        <v>100</v>
      </c>
      <c r="G13" s="11" t="s">
        <v>110</v>
      </c>
      <c r="H13" s="3" t="s">
        <v>30</v>
      </c>
      <c r="I13" s="9"/>
    </row>
    <row r="14" customFormat="false" ht="15" hidden="false" customHeight="false" outlineLevel="0" collapsed="false">
      <c r="A14" s="6"/>
      <c r="B14" s="7" t="s">
        <v>140</v>
      </c>
      <c r="C14" s="7"/>
      <c r="D14" s="7"/>
      <c r="E14" s="7"/>
      <c r="F14" s="7"/>
      <c r="G14" s="7"/>
      <c r="H14" s="7"/>
      <c r="I14" s="7"/>
    </row>
    <row r="15" customFormat="false" ht="79.5" hidden="false" customHeight="true" outlineLevel="0" collapsed="false">
      <c r="A15" s="15" t="s">
        <v>141</v>
      </c>
      <c r="B15" s="2" t="s">
        <v>142</v>
      </c>
      <c r="C15" s="9" t="s">
        <v>143</v>
      </c>
      <c r="D15" s="3" t="s">
        <v>47</v>
      </c>
      <c r="E15" s="3" t="n">
        <v>8</v>
      </c>
      <c r="F15" s="16" t="s">
        <v>100</v>
      </c>
      <c r="G15" s="11" t="s">
        <v>84</v>
      </c>
      <c r="H15" s="3" t="s">
        <v>30</v>
      </c>
      <c r="I15" s="9" t="s">
        <v>144</v>
      </c>
    </row>
    <row r="16" customFormat="false" ht="79.5" hidden="false" customHeight="true" outlineLevel="0" collapsed="false">
      <c r="A16" s="15" t="s">
        <v>145</v>
      </c>
      <c r="B16" s="2" t="s">
        <v>146</v>
      </c>
      <c r="C16" s="9" t="s">
        <v>147</v>
      </c>
      <c r="D16" s="3" t="s">
        <v>47</v>
      </c>
      <c r="E16" s="3" t="n">
        <v>4</v>
      </c>
      <c r="F16" s="16" t="s">
        <v>100</v>
      </c>
      <c r="G16" s="11" t="s">
        <v>148</v>
      </c>
      <c r="H16" s="3" t="s">
        <v>30</v>
      </c>
      <c r="I16" s="9"/>
    </row>
    <row r="17" customFormat="false" ht="79.5" hidden="false" customHeight="true" outlineLevel="0" collapsed="false">
      <c r="A17" s="15" t="s">
        <v>149</v>
      </c>
      <c r="B17" s="2" t="s">
        <v>150</v>
      </c>
      <c r="C17" s="9" t="s">
        <v>151</v>
      </c>
      <c r="D17" s="3" t="s">
        <v>47</v>
      </c>
      <c r="E17" s="3" t="n">
        <v>10</v>
      </c>
      <c r="F17" s="16" t="s">
        <v>100</v>
      </c>
      <c r="G17" s="11" t="s">
        <v>141</v>
      </c>
      <c r="H17" s="3" t="s">
        <v>30</v>
      </c>
      <c r="I17" s="9" t="s">
        <v>152</v>
      </c>
    </row>
    <row r="18" customFormat="false" ht="15" hidden="false" customHeight="false" outlineLevel="0" collapsed="false">
      <c r="A18" s="6"/>
      <c r="B18" s="7" t="s">
        <v>153</v>
      </c>
      <c r="C18" s="7"/>
      <c r="D18" s="7"/>
      <c r="E18" s="7"/>
      <c r="F18" s="7"/>
      <c r="G18" s="7"/>
      <c r="H18" s="7"/>
      <c r="I18" s="7"/>
    </row>
    <row r="19" customFormat="false" ht="79.5" hidden="false" customHeight="true" outlineLevel="0" collapsed="false">
      <c r="A19" s="15" t="s">
        <v>154</v>
      </c>
      <c r="B19" s="2" t="s">
        <v>155</v>
      </c>
      <c r="C19" s="9" t="s">
        <v>156</v>
      </c>
      <c r="D19" s="3" t="s">
        <v>47</v>
      </c>
      <c r="E19" s="3" t="n">
        <v>4</v>
      </c>
      <c r="F19" s="16" t="s">
        <v>100</v>
      </c>
      <c r="G19" s="11" t="s">
        <v>88</v>
      </c>
      <c r="H19" s="3" t="s">
        <v>30</v>
      </c>
      <c r="I19" s="9" t="s">
        <v>157</v>
      </c>
    </row>
    <row r="20" customFormat="false" ht="79.5" hidden="false" customHeight="true" outlineLevel="0" collapsed="false">
      <c r="A20" s="15" t="s">
        <v>158</v>
      </c>
      <c r="B20" s="2" t="s">
        <v>159</v>
      </c>
      <c r="C20" s="9" t="s">
        <v>160</v>
      </c>
      <c r="D20" s="3" t="s">
        <v>47</v>
      </c>
      <c r="E20" s="3" t="n">
        <v>6</v>
      </c>
      <c r="F20" s="16" t="s">
        <v>100</v>
      </c>
      <c r="G20" s="11" t="s">
        <v>154</v>
      </c>
      <c r="H20" s="3" t="s">
        <v>30</v>
      </c>
      <c r="I20" s="9"/>
    </row>
    <row r="21" customFormat="false" ht="79.5" hidden="false" customHeight="true" outlineLevel="0" collapsed="false">
      <c r="A21" s="15" t="s">
        <v>161</v>
      </c>
      <c r="B21" s="2" t="s">
        <v>162</v>
      </c>
      <c r="C21" s="9" t="s">
        <v>163</v>
      </c>
      <c r="D21" s="3" t="s">
        <v>47</v>
      </c>
      <c r="E21" s="3" t="n">
        <v>3</v>
      </c>
      <c r="F21" s="16" t="s">
        <v>100</v>
      </c>
      <c r="G21" s="11" t="s">
        <v>164</v>
      </c>
      <c r="H21" s="3" t="s">
        <v>30</v>
      </c>
      <c r="I21" s="9" t="s">
        <v>165</v>
      </c>
    </row>
    <row r="22" customFormat="false" ht="79.5" hidden="false" customHeight="true" outlineLevel="0" collapsed="false">
      <c r="A22" s="15" t="s">
        <v>166</v>
      </c>
      <c r="B22" s="2" t="s">
        <v>167</v>
      </c>
      <c r="C22" s="9" t="s">
        <v>168</v>
      </c>
      <c r="D22" s="3" t="s">
        <v>47</v>
      </c>
      <c r="E22" s="3" t="n">
        <v>3</v>
      </c>
      <c r="F22" s="16" t="s">
        <v>100</v>
      </c>
      <c r="G22" s="11" t="s">
        <v>84</v>
      </c>
      <c r="H22" s="3" t="s">
        <v>30</v>
      </c>
      <c r="I22" s="9"/>
    </row>
    <row r="23" customFormat="false" ht="15" hidden="false" customHeight="false" outlineLevel="0" collapsed="false">
      <c r="A23" s="6"/>
      <c r="B23" s="7" t="s">
        <v>169</v>
      </c>
      <c r="C23" s="7"/>
      <c r="D23" s="7"/>
      <c r="E23" s="7"/>
      <c r="F23" s="7"/>
      <c r="G23" s="7"/>
      <c r="H23" s="7"/>
      <c r="I23" s="7"/>
    </row>
    <row r="24" customFormat="false" ht="79.5" hidden="false" customHeight="true" outlineLevel="0" collapsed="false">
      <c r="A24" s="15" t="s">
        <v>170</v>
      </c>
      <c r="B24" s="2" t="s">
        <v>171</v>
      </c>
      <c r="C24" s="9" t="s">
        <v>172</v>
      </c>
      <c r="D24" s="3" t="s">
        <v>47</v>
      </c>
      <c r="E24" s="3" t="n">
        <v>8</v>
      </c>
      <c r="F24" s="16" t="s">
        <v>100</v>
      </c>
      <c r="G24" s="11" t="s">
        <v>36</v>
      </c>
      <c r="H24" s="3" t="s">
        <v>30</v>
      </c>
      <c r="I24" s="9" t="s">
        <v>173</v>
      </c>
    </row>
    <row r="25" customFormat="false" ht="79.5" hidden="false" customHeight="true" outlineLevel="0" collapsed="false">
      <c r="A25" s="15" t="s">
        <v>174</v>
      </c>
      <c r="B25" s="2" t="s">
        <v>175</v>
      </c>
      <c r="C25" s="9" t="s">
        <v>176</v>
      </c>
      <c r="D25" s="3" t="s">
        <v>47</v>
      </c>
      <c r="E25" s="3" t="n">
        <v>6</v>
      </c>
      <c r="F25" s="16" t="s">
        <v>100</v>
      </c>
      <c r="G25" s="11" t="s">
        <v>177</v>
      </c>
      <c r="H25" s="3" t="s">
        <v>30</v>
      </c>
      <c r="I25" s="9"/>
    </row>
    <row r="26" customFormat="false" ht="79.5" hidden="false" customHeight="true" outlineLevel="0" collapsed="false">
      <c r="A26" s="15" t="s">
        <v>178</v>
      </c>
      <c r="B26" s="2" t="s">
        <v>179</v>
      </c>
      <c r="C26" s="9" t="s">
        <v>180</v>
      </c>
      <c r="D26" s="3" t="s">
        <v>47</v>
      </c>
      <c r="E26" s="3" t="n">
        <v>5</v>
      </c>
      <c r="F26" s="16" t="s">
        <v>100</v>
      </c>
      <c r="G26" s="11" t="s">
        <v>174</v>
      </c>
      <c r="H26" s="3" t="s">
        <v>30</v>
      </c>
      <c r="I26" s="9" t="s">
        <v>181</v>
      </c>
    </row>
    <row r="27" customFormat="false" ht="15" hidden="false" customHeight="false" outlineLevel="0" collapsed="false">
      <c r="A27" s="6"/>
      <c r="B27" s="7" t="s">
        <v>182</v>
      </c>
      <c r="C27" s="7"/>
      <c r="D27" s="7"/>
      <c r="E27" s="7"/>
      <c r="F27" s="7"/>
      <c r="G27" s="7"/>
      <c r="H27" s="7"/>
      <c r="I27" s="7"/>
    </row>
    <row r="28" customFormat="false" ht="79.5" hidden="false" customHeight="true" outlineLevel="0" collapsed="false">
      <c r="A28" s="15" t="s">
        <v>183</v>
      </c>
      <c r="B28" s="2" t="s">
        <v>184</v>
      </c>
      <c r="C28" s="9" t="s">
        <v>185</v>
      </c>
      <c r="D28" s="3" t="s">
        <v>47</v>
      </c>
      <c r="E28" s="3" t="n">
        <v>5</v>
      </c>
      <c r="F28" s="16" t="s">
        <v>100</v>
      </c>
      <c r="G28" s="11" t="s">
        <v>88</v>
      </c>
      <c r="H28" s="3" t="s">
        <v>30</v>
      </c>
      <c r="I28" s="9" t="s">
        <v>186</v>
      </c>
    </row>
    <row r="29" customFormat="false" ht="79.5" hidden="false" customHeight="true" outlineLevel="0" collapsed="false">
      <c r="A29" s="15" t="s">
        <v>187</v>
      </c>
      <c r="B29" s="2" t="s">
        <v>188</v>
      </c>
      <c r="C29" s="9" t="s">
        <v>189</v>
      </c>
      <c r="D29" s="3" t="s">
        <v>47</v>
      </c>
      <c r="E29" s="3" t="n">
        <v>5</v>
      </c>
      <c r="F29" s="16" t="s">
        <v>100</v>
      </c>
      <c r="G29" s="11" t="s">
        <v>190</v>
      </c>
      <c r="H29" s="3" t="s">
        <v>30</v>
      </c>
      <c r="I29" s="9" t="s">
        <v>191</v>
      </c>
    </row>
    <row r="30" customFormat="false" ht="79.5" hidden="false" customHeight="true" outlineLevel="0" collapsed="false">
      <c r="A30" s="15" t="s">
        <v>192</v>
      </c>
      <c r="B30" s="2" t="s">
        <v>193</v>
      </c>
      <c r="C30" s="9" t="s">
        <v>194</v>
      </c>
      <c r="D30" s="3" t="s">
        <v>47</v>
      </c>
      <c r="E30" s="3" t="n">
        <v>4</v>
      </c>
      <c r="F30" s="16" t="s">
        <v>100</v>
      </c>
      <c r="G30" s="11" t="s">
        <v>154</v>
      </c>
      <c r="H30" s="3" t="s">
        <v>30</v>
      </c>
      <c r="I30" s="9"/>
    </row>
    <row r="31" customFormat="false" ht="79.5" hidden="false" customHeight="true" outlineLevel="0" collapsed="false">
      <c r="A31" s="15" t="s">
        <v>195</v>
      </c>
      <c r="B31" s="2" t="s">
        <v>196</v>
      </c>
      <c r="C31" s="9" t="s">
        <v>197</v>
      </c>
      <c r="D31" s="3" t="s">
        <v>47</v>
      </c>
      <c r="E31" s="3" t="n">
        <v>4</v>
      </c>
      <c r="F31" s="16" t="s">
        <v>100</v>
      </c>
      <c r="G31" s="11" t="s">
        <v>166</v>
      </c>
      <c r="H31" s="3" t="s">
        <v>30</v>
      </c>
      <c r="I31" s="9" t="s">
        <v>198</v>
      </c>
    </row>
    <row r="32" customFormat="false" ht="15" hidden="false" customHeight="false" outlineLevel="0" collapsed="false">
      <c r="A32" s="6"/>
      <c r="B32" s="7" t="s">
        <v>199</v>
      </c>
      <c r="C32" s="7"/>
      <c r="D32" s="7"/>
      <c r="E32" s="7"/>
      <c r="F32" s="7"/>
      <c r="G32" s="7"/>
      <c r="H32" s="7"/>
      <c r="I32" s="7"/>
    </row>
    <row r="33" customFormat="false" ht="79.5" hidden="false" customHeight="true" outlineLevel="0" collapsed="false">
      <c r="A33" s="15" t="s">
        <v>200</v>
      </c>
      <c r="B33" s="2" t="s">
        <v>201</v>
      </c>
      <c r="C33" s="9" t="s">
        <v>202</v>
      </c>
      <c r="D33" s="3" t="s">
        <v>47</v>
      </c>
      <c r="E33" s="3" t="n">
        <v>3</v>
      </c>
      <c r="F33" s="16" t="s">
        <v>100</v>
      </c>
      <c r="G33" s="11" t="s">
        <v>203</v>
      </c>
      <c r="H33" s="3" t="s">
        <v>30</v>
      </c>
      <c r="I33" s="9"/>
    </row>
    <row r="34" customFormat="false" ht="79.5" hidden="false" customHeight="true" outlineLevel="0" collapsed="false">
      <c r="A34" s="15" t="s">
        <v>204</v>
      </c>
      <c r="B34" s="2" t="s">
        <v>205</v>
      </c>
      <c r="C34" s="9" t="s">
        <v>206</v>
      </c>
      <c r="D34" s="3" t="s">
        <v>47</v>
      </c>
      <c r="E34" s="3" t="n">
        <v>5</v>
      </c>
      <c r="F34" s="16" t="s">
        <v>100</v>
      </c>
      <c r="G34" s="11" t="s">
        <v>207</v>
      </c>
      <c r="H34" s="3" t="s">
        <v>30</v>
      </c>
      <c r="I34" s="9" t="s">
        <v>208</v>
      </c>
    </row>
    <row r="35" customFormat="false" ht="79.5" hidden="false" customHeight="true" outlineLevel="0" collapsed="false">
      <c r="A35" s="15" t="s">
        <v>209</v>
      </c>
      <c r="B35" s="2" t="s">
        <v>210</v>
      </c>
      <c r="C35" s="9" t="s">
        <v>211</v>
      </c>
      <c r="D35" s="3" t="s">
        <v>47</v>
      </c>
      <c r="E35" s="3" t="n">
        <v>5</v>
      </c>
      <c r="F35" s="16" t="s">
        <v>100</v>
      </c>
      <c r="G35" s="11" t="s">
        <v>207</v>
      </c>
      <c r="H35" s="3" t="s">
        <v>30</v>
      </c>
      <c r="I35" s="9"/>
    </row>
    <row r="36" customFormat="false" ht="79.5" hidden="false" customHeight="true" outlineLevel="0" collapsed="false">
      <c r="A36" s="15" t="s">
        <v>212</v>
      </c>
      <c r="B36" s="2" t="s">
        <v>213</v>
      </c>
      <c r="C36" s="9" t="s">
        <v>214</v>
      </c>
      <c r="D36" s="3" t="s">
        <v>47</v>
      </c>
      <c r="E36" s="3" t="n">
        <v>2</v>
      </c>
      <c r="F36" s="16" t="s">
        <v>100</v>
      </c>
      <c r="G36" s="11" t="s">
        <v>97</v>
      </c>
      <c r="H36" s="3" t="s">
        <v>30</v>
      </c>
      <c r="I36" s="9" t="s">
        <v>215</v>
      </c>
    </row>
    <row r="37" customFormat="false" ht="79.5" hidden="false" customHeight="true" outlineLevel="0" collapsed="false">
      <c r="A37" s="15" t="s">
        <v>216</v>
      </c>
      <c r="B37" s="2" t="s">
        <v>217</v>
      </c>
      <c r="C37" s="9" t="s">
        <v>218</v>
      </c>
      <c r="D37" s="3" t="s">
        <v>27</v>
      </c>
      <c r="E37" s="3" t="n">
        <v>6</v>
      </c>
      <c r="F37" s="16" t="s">
        <v>100</v>
      </c>
      <c r="G37" s="11" t="s">
        <v>219</v>
      </c>
      <c r="H37" s="3" t="s">
        <v>30</v>
      </c>
      <c r="I37" s="9" t="s">
        <v>220</v>
      </c>
    </row>
    <row r="39" customFormat="false" ht="15" hidden="false" customHeight="false" outlineLevel="0" collapsed="false">
      <c r="D39" s="12" t="s">
        <v>12</v>
      </c>
      <c r="E39" s="13" t="n">
        <f aca="false">SUM(E2:E37)</f>
        <v>145</v>
      </c>
      <c r="I39" s="14" t="s">
        <v>221</v>
      </c>
    </row>
  </sheetData>
  <mergeCells count="7">
    <mergeCell ref="B2:I2"/>
    <mergeCell ref="B8:I8"/>
    <mergeCell ref="B14:I14"/>
    <mergeCell ref="B18:I18"/>
    <mergeCell ref="B23:I23"/>
    <mergeCell ref="B27:I27"/>
    <mergeCell ref="B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2026-02-23T21:45:15Z</dcterms:created>
  <dc:creator>openpyxl</dc:creator>
  <dc:description/>
  <dc:language>en-US</dc:language>
  <cp:lastModifiedBy/>
  <dcterms:modified xsi:type="dcterms:W3CDTF">2026-02-23T21:45:15Z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